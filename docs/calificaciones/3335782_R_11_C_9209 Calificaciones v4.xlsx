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WORKHUB\SN\CALIFICACIONES\"/>
    </mc:Choice>
  </mc:AlternateContent>
  <xr:revisionPtr revIDLastSave="0" documentId="13_ncr:1_{447718B7-4BE8-4A4A-8812-C816FC647BA2}" xr6:coauthVersionLast="47" xr6:coauthVersionMax="47" xr10:uidLastSave="{00000000-0000-0000-0000-000000000000}"/>
  <bookViews>
    <workbookView xWindow="-108" yWindow="-108" windowWidth="23256" windowHeight="12480" xr2:uid="{00000000-000D-0000-FFFF-FFFF00000000}"/>
  </bookViews>
  <sheets>
    <sheet name="Calificaciones" sheetId="1" r:id="rId1"/>
  </sheets>
  <definedNames>
    <definedName name="_xlnm._FilterDatabase" localSheetId="0" hidden="1">Calificaciones!$A$1:$V$40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</calcChain>
</file>

<file path=xl/sharedStrings.xml><?xml version="1.0" encoding="utf-8"?>
<sst xmlns="http://schemas.openxmlformats.org/spreadsheetml/2006/main" count="469" uniqueCount="181">
  <si>
    <t>Nombre(s)</t>
  </si>
  <si>
    <t>Apellido(s)</t>
  </si>
  <si>
    <t>Nombre de usuario</t>
  </si>
  <si>
    <t>Institución</t>
  </si>
  <si>
    <t>Departamento</t>
  </si>
  <si>
    <t>Correo electrónico</t>
  </si>
  <si>
    <t>Prueba de Conocimiento:Cuestionario sobre técnicas de levantamiento de información, plan de seguridad y continuidad del servicio. GA1-220501014-AA1-EV01. (Real)</t>
  </si>
  <si>
    <t>Prueba de Conocimiento:Cuestionario sobre técnicas de levantamiento de información, plan de seguridad y continuidad del servicio. GA1-220501014-AA1-EV01. (Letra)</t>
  </si>
  <si>
    <t>Evidencia:Informe de inventario y dispositivos de la red - GA1-220501014-AA1-EV02 (Real)</t>
  </si>
  <si>
    <t>Evidencia:Informe de inventario y dispositivos de la red - GA1-220501014-AA1-EV02 (Letra)</t>
  </si>
  <si>
    <t>Evidencia:Mapa mental - Software y servicios de Internet - GA1-220501046-AA1-EV01 (Real)</t>
  </si>
  <si>
    <t>Evidencia:Mapa mental - Software y servicios de Internet - GA1-220501046-AA1-EV01 (Letra)</t>
  </si>
  <si>
    <t>Evidencia:Taller. Utilización de las herramientas de ofimática - GA1-220501046-AA2-EV01 (Real)</t>
  </si>
  <si>
    <t>Evidencia:Taller. Utilización de las herramientas de ofimática - GA1-220501046-AA2-EV01 (Letra)</t>
  </si>
  <si>
    <t>Evidencia:Plan de mejora de productos y procesos con la incorporación de TIC - GA1-220501046-AA4-EV01 (Real)</t>
  </si>
  <si>
    <t>Evidencia:Plan de mejora de productos y procesos con la incorporación de TIC - GA1-220501046-AA4-EV01 (Letra)</t>
  </si>
  <si>
    <t>Última descarga de este curso</t>
  </si>
  <si>
    <t>JORGE DAVID</t>
  </si>
  <si>
    <t xml:space="preserve">ALFARO LUNA </t>
  </si>
  <si>
    <t>1050037540cc</t>
  </si>
  <si>
    <t>davialfa17@hotmail.com</t>
  </si>
  <si>
    <t>A</t>
  </si>
  <si>
    <t>-</t>
  </si>
  <si>
    <t>1771278135</t>
  </si>
  <si>
    <t>FANY YULIANI</t>
  </si>
  <si>
    <t xml:space="preserve">ARDILA TRIANA </t>
  </si>
  <si>
    <t>1121206246cc</t>
  </si>
  <si>
    <t>ardilatrianaf@gmail.com</t>
  </si>
  <si>
    <t>LUIS ALBERTO</t>
  </si>
  <si>
    <t xml:space="preserve">AVILA SANTOS </t>
  </si>
  <si>
    <t>80741841cc</t>
  </si>
  <si>
    <t>luisbeto332@gmail.com</t>
  </si>
  <si>
    <t>NEVER DE JESUS</t>
  </si>
  <si>
    <t xml:space="preserve">BORJA OCHOA </t>
  </si>
  <si>
    <t>78763222cc</t>
  </si>
  <si>
    <t>neverborja8a@gmail.com</t>
  </si>
  <si>
    <t>ZAIR JOANN</t>
  </si>
  <si>
    <t xml:space="preserve">BUSTAMANTE BARRERO </t>
  </si>
  <si>
    <t>1192772327cc</t>
  </si>
  <si>
    <t>zairjoann2016@gmail.com</t>
  </si>
  <si>
    <t>ANYI MARCELA</t>
  </si>
  <si>
    <t xml:space="preserve">CARO DELGADO </t>
  </si>
  <si>
    <t>1110553370cc</t>
  </si>
  <si>
    <t>anyicaro94@gmail.com</t>
  </si>
  <si>
    <t>OSCAR FERNANDO</t>
  </si>
  <si>
    <t xml:space="preserve">CASTILLO   </t>
  </si>
  <si>
    <t>71383325cc</t>
  </si>
  <si>
    <t>oscajero@gmail.com</t>
  </si>
  <si>
    <t>ZINIA MILENA</t>
  </si>
  <si>
    <t xml:space="preserve">CONDOY SEVILLANO </t>
  </si>
  <si>
    <t>1143868843cc</t>
  </si>
  <si>
    <t>condoysevillanozuniamilena96@gmail.com</t>
  </si>
  <si>
    <t>D</t>
  </si>
  <si>
    <t>LEIDI MILENA</t>
  </si>
  <si>
    <t xml:space="preserve">ESCOBAR REYES </t>
  </si>
  <si>
    <t>1075225620cc</t>
  </si>
  <si>
    <t>leidireyes0802@gmail.com</t>
  </si>
  <si>
    <t>GABRIEL ANTONIO</t>
  </si>
  <si>
    <t xml:space="preserve">FERREIRA   </t>
  </si>
  <si>
    <t>80399271cc</t>
  </si>
  <si>
    <t>gabrielantoniof25@gmail.com</t>
  </si>
  <si>
    <t>DELIO</t>
  </si>
  <si>
    <t xml:space="preserve">FRANCO VARGAS </t>
  </si>
  <si>
    <t>11222845cc</t>
  </si>
  <si>
    <t>delio.franco.v@gmail.com</t>
  </si>
  <si>
    <t>ELENA</t>
  </si>
  <si>
    <t xml:space="preserve">GARCIA RODRIGUEZ </t>
  </si>
  <si>
    <t>21849850cc</t>
  </si>
  <si>
    <t>elena.gr31@hotmail.com</t>
  </si>
  <si>
    <t>FAVER ANDREY</t>
  </si>
  <si>
    <t xml:space="preserve">GOMEZ ALFONSO </t>
  </si>
  <si>
    <t>1052838818cc</t>
  </si>
  <si>
    <t>favergomez84@gmail.com</t>
  </si>
  <si>
    <t>PAULA VANESSA</t>
  </si>
  <si>
    <t xml:space="preserve">GOMEZ BEDOYA </t>
  </si>
  <si>
    <t>1031181715cc</t>
  </si>
  <si>
    <t>paulavanessa114@gmail.com</t>
  </si>
  <si>
    <t>JHON FREDY</t>
  </si>
  <si>
    <t xml:space="preserve">GOMEZ MUÑOZ </t>
  </si>
  <si>
    <t>1114339791cc</t>
  </si>
  <si>
    <t>jhonfredygomesmunos@gmail.com</t>
  </si>
  <si>
    <t>CESAR AUGUSTO</t>
  </si>
  <si>
    <t xml:space="preserve">GOMEZ SALAZAR </t>
  </si>
  <si>
    <t>75090110cc</t>
  </si>
  <si>
    <t>checags@gmail.com</t>
  </si>
  <si>
    <t>DUVEIMAR STEVEN</t>
  </si>
  <si>
    <t xml:space="preserve">GOMEZ TAFURT </t>
  </si>
  <si>
    <t>1113683456cc</t>
  </si>
  <si>
    <t>duveimar1229@hotmail.com</t>
  </si>
  <si>
    <t>SAMUEL DAVID</t>
  </si>
  <si>
    <t xml:space="preserve">GUZMAN ARAGON </t>
  </si>
  <si>
    <t>1079887513cc</t>
  </si>
  <si>
    <t>aragonsamuel76@gmail.com</t>
  </si>
  <si>
    <t>JUAN ELIAS</t>
  </si>
  <si>
    <t xml:space="preserve">HERAZO CORDERO </t>
  </si>
  <si>
    <t>1103497431cc</t>
  </si>
  <si>
    <t>juanherazofit@gmail.com</t>
  </si>
  <si>
    <t>JUAN CARLOS</t>
  </si>
  <si>
    <t xml:space="preserve">HUERTAS PERILLA </t>
  </si>
  <si>
    <t>1053617081cc</t>
  </si>
  <si>
    <t>juank2014huertas@gmail.com</t>
  </si>
  <si>
    <t>DIEGO ARMANDO</t>
  </si>
  <si>
    <t xml:space="preserve">LANDINEZ FRANCO </t>
  </si>
  <si>
    <t>79223494cc</t>
  </si>
  <si>
    <t>armandod5823@outlook.com</t>
  </si>
  <si>
    <t>JULIO CESAR</t>
  </si>
  <si>
    <t xml:space="preserve">MARTINEZ HIGUITA </t>
  </si>
  <si>
    <t>1143960263cc</t>
  </si>
  <si>
    <t>martinezhiguita@gmail.com</t>
  </si>
  <si>
    <t>MANUEL FRANCISCO</t>
  </si>
  <si>
    <t xml:space="preserve">MARTINEZ PADILLA </t>
  </si>
  <si>
    <t>1007851490cc</t>
  </si>
  <si>
    <t>martinezpadilla21@outlook.es</t>
  </si>
  <si>
    <t>JULIAN</t>
  </si>
  <si>
    <t xml:space="preserve">MONSALVE GARCIA </t>
  </si>
  <si>
    <t>71385589cc</t>
  </si>
  <si>
    <t>julian5858@hotmail.com</t>
  </si>
  <si>
    <t>CARLOS JHAIR</t>
  </si>
  <si>
    <t xml:space="preserve">MURILLO MEDINA </t>
  </si>
  <si>
    <t>1077463064cc</t>
  </si>
  <si>
    <t>jhairmurillo@hotmail.com</t>
  </si>
  <si>
    <t>WILLIAM STEVEN</t>
  </si>
  <si>
    <t xml:space="preserve">PAEZ RIOS </t>
  </si>
  <si>
    <t>80204094cc</t>
  </si>
  <si>
    <t>stev_62@hotmail.com</t>
  </si>
  <si>
    <t>KAREN NATHALIA</t>
  </si>
  <si>
    <t xml:space="preserve">PEREZ OSMAS </t>
  </si>
  <si>
    <t>1111539049cc</t>
  </si>
  <si>
    <t>karennathaliaperez24@gmail.com</t>
  </si>
  <si>
    <t>JEAN PABLO</t>
  </si>
  <si>
    <t xml:space="preserve">PLAZA ZAMBRANO </t>
  </si>
  <si>
    <t>1005976979cc</t>
  </si>
  <si>
    <t>zambranoplaza7@gmail.com</t>
  </si>
  <si>
    <t>DIEGO FERNANDO</t>
  </si>
  <si>
    <t xml:space="preserve">QUIROGA PEÑA </t>
  </si>
  <si>
    <t>1016068284cc</t>
  </si>
  <si>
    <t>difequipe94@gmail.com</t>
  </si>
  <si>
    <t>YOHANA GABRIELA</t>
  </si>
  <si>
    <t xml:space="preserve">RAMIREZ MORENO </t>
  </si>
  <si>
    <t>1030656681cc</t>
  </si>
  <si>
    <t>yogaramo@hotmail.com</t>
  </si>
  <si>
    <t>EDWIN ALEXANDER</t>
  </si>
  <si>
    <t xml:space="preserve">ROMERO MOJICA </t>
  </si>
  <si>
    <t>1048850208cc</t>
  </si>
  <si>
    <t>alxmojica.19@gmail.com</t>
  </si>
  <si>
    <t>DANIEL EDUARDO</t>
  </si>
  <si>
    <t xml:space="preserve">ROMERO PEDROZA </t>
  </si>
  <si>
    <t>73196715cc</t>
  </si>
  <si>
    <t>lorito51_16@hotmail.com</t>
  </si>
  <si>
    <t>JOAN SMITH</t>
  </si>
  <si>
    <t xml:space="preserve">SANABRIA ROJAS </t>
  </si>
  <si>
    <t>1000461850cc</t>
  </si>
  <si>
    <t>I.D. Rafael Bernal Jimenez</t>
  </si>
  <si>
    <t>sanabriarojasjoansmith@gmail.com</t>
  </si>
  <si>
    <t>MARIO JOSE</t>
  </si>
  <si>
    <t xml:space="preserve">SANCHEZ AGUILAR </t>
  </si>
  <si>
    <t>1067400219cc</t>
  </si>
  <si>
    <t>sanchezm4r1o@gmail.com</t>
  </si>
  <si>
    <t>JAIR FERNANDO</t>
  </si>
  <si>
    <t xml:space="preserve">SOTO LOPEZ </t>
  </si>
  <si>
    <t>80157147cc</t>
  </si>
  <si>
    <t>jsolo4845@gmail.com</t>
  </si>
  <si>
    <t>DIANA PAOLA</t>
  </si>
  <si>
    <t xml:space="preserve">TORO FORERO </t>
  </si>
  <si>
    <t>1016025305cc</t>
  </si>
  <si>
    <t>nana9003@hotmail.com</t>
  </si>
  <si>
    <t>LUIS ANTONIO</t>
  </si>
  <si>
    <t xml:space="preserve">VARGAS SIERRA </t>
  </si>
  <si>
    <t>1106363169cc</t>
  </si>
  <si>
    <t>luisvargas1504@hotmail.com</t>
  </si>
  <si>
    <t>DANIEL ANDRES</t>
  </si>
  <si>
    <t xml:space="preserve">YEPES TAPIA </t>
  </si>
  <si>
    <t>1002429136cc</t>
  </si>
  <si>
    <t>danielyepestapia@gmail.com</t>
  </si>
  <si>
    <t>ANTONNY FABIAN</t>
  </si>
  <si>
    <t xml:space="preserve">YOMAYUSSA MCCAUSLAND </t>
  </si>
  <si>
    <t>79748912cc</t>
  </si>
  <si>
    <t>fabianyomayussa@gmail.com</t>
  </si>
  <si>
    <t>MURICA MARIN</t>
  </si>
  <si>
    <t>SIERRA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</si>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</sst>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zoomScale="90" zoomScaleNormal="90" workbookViewId="0">
      <selection activeCell="Q1" sqref="Q1"/>
    </sheetView>
  </sheetViews>
  <sheetFormatPr baseColWidth="10" defaultColWidth="8.88671875" defaultRowHeight="14.4" x14ac:dyDescent="0.3"/>
  <cols>
    <col min="1" max="1" width="15.109375" customWidth="1"/>
    <col min="2" max="2" width="16.77734375" customWidth="1"/>
    <col min="17" max="17" width="8.88671875" style="4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180</v>
      </c>
      <c r="R1" s="1" t="s">
        <v>16</v>
      </c>
      <c r="U1" s="2"/>
    </row>
    <row r="2" spans="1:22" x14ac:dyDescent="0.3">
      <c r="A2" s="1" t="s">
        <v>17</v>
      </c>
      <c r="B2" s="1" t="s">
        <v>18</v>
      </c>
      <c r="C2" s="1" t="s">
        <v>19</v>
      </c>
      <c r="D2" s="1"/>
      <c r="E2" s="1"/>
      <c r="F2" s="1" t="s">
        <v>20</v>
      </c>
      <c r="G2">
        <v>87</v>
      </c>
      <c r="H2" s="1" t="s">
        <v>21</v>
      </c>
      <c r="I2">
        <v>95</v>
      </c>
      <c r="J2" s="1" t="s">
        <v>21</v>
      </c>
      <c r="K2" s="1" t="s">
        <v>22</v>
      </c>
      <c r="L2" s="1" t="s">
        <v>22</v>
      </c>
      <c r="M2">
        <v>90</v>
      </c>
      <c r="N2" s="1" t="s">
        <v>21</v>
      </c>
      <c r="O2">
        <v>80</v>
      </c>
      <c r="P2" s="1" t="s">
        <v>21</v>
      </c>
      <c r="Q2" s="4" t="str">
        <f>IF(AND(H2="A", J2="A",L2="A",N2="A",P2="A"),"A","-")</f>
        <v>-</v>
      </c>
      <c r="R2" s="1" t="s">
        <v>23</v>
      </c>
      <c r="U2" s="2"/>
    </row>
    <row r="3" spans="1:22" x14ac:dyDescent="0.3">
      <c r="A3" s="1" t="s">
        <v>24</v>
      </c>
      <c r="B3" s="1" t="s">
        <v>25</v>
      </c>
      <c r="C3" s="1" t="s">
        <v>26</v>
      </c>
      <c r="D3" s="1"/>
      <c r="E3" s="1"/>
      <c r="F3" s="1" t="s">
        <v>27</v>
      </c>
      <c r="G3">
        <v>100</v>
      </c>
      <c r="H3" s="1" t="s">
        <v>21</v>
      </c>
      <c r="I3">
        <v>85</v>
      </c>
      <c r="J3" s="1" t="s">
        <v>21</v>
      </c>
      <c r="K3">
        <v>80</v>
      </c>
      <c r="L3" s="1" t="s">
        <v>21</v>
      </c>
      <c r="M3">
        <v>80</v>
      </c>
      <c r="N3" s="1" t="s">
        <v>21</v>
      </c>
      <c r="O3">
        <v>80</v>
      </c>
      <c r="P3" s="1" t="s">
        <v>21</v>
      </c>
      <c r="Q3" s="4" t="str">
        <f t="shared" ref="Q3:Q40" si="0">IF(AND(H3="A", J3="A",L3="A",N3="A",P3="A"),"A","-")</f>
        <v>A</v>
      </c>
      <c r="R3" s="1" t="s">
        <v>23</v>
      </c>
      <c r="U3" s="2"/>
    </row>
    <row r="4" spans="1:22" x14ac:dyDescent="0.3">
      <c r="A4" s="1" t="s">
        <v>28</v>
      </c>
      <c r="B4" s="1" t="s">
        <v>29</v>
      </c>
      <c r="C4" s="1" t="s">
        <v>30</v>
      </c>
      <c r="D4" s="1"/>
      <c r="E4" s="1"/>
      <c r="F4" s="1" t="s">
        <v>31</v>
      </c>
      <c r="G4">
        <v>87</v>
      </c>
      <c r="H4" s="1" t="s">
        <v>21</v>
      </c>
      <c r="I4">
        <v>75</v>
      </c>
      <c r="J4" s="1" t="s">
        <v>21</v>
      </c>
      <c r="K4">
        <v>80</v>
      </c>
      <c r="L4" s="1" t="s">
        <v>21</v>
      </c>
      <c r="M4">
        <v>90</v>
      </c>
      <c r="N4" s="1" t="s">
        <v>21</v>
      </c>
      <c r="O4">
        <v>75</v>
      </c>
      <c r="P4" s="1" t="s">
        <v>21</v>
      </c>
      <c r="Q4" s="4" t="str">
        <f t="shared" si="0"/>
        <v>A</v>
      </c>
      <c r="R4" s="1" t="s">
        <v>23</v>
      </c>
      <c r="U4" s="2"/>
    </row>
    <row r="5" spans="1:22" x14ac:dyDescent="0.3">
      <c r="A5" s="1" t="s">
        <v>32</v>
      </c>
      <c r="B5" s="1" t="s">
        <v>33</v>
      </c>
      <c r="C5" s="1" t="s">
        <v>34</v>
      </c>
      <c r="D5" s="1"/>
      <c r="E5" s="1"/>
      <c r="F5" s="1" t="s">
        <v>35</v>
      </c>
      <c r="G5">
        <v>100</v>
      </c>
      <c r="H5" s="1" t="s">
        <v>21</v>
      </c>
      <c r="I5">
        <v>75</v>
      </c>
      <c r="J5" s="1" t="s">
        <v>21</v>
      </c>
      <c r="K5">
        <v>70</v>
      </c>
      <c r="L5" s="1" t="s">
        <v>21</v>
      </c>
      <c r="M5">
        <v>80</v>
      </c>
      <c r="N5" s="1" t="s">
        <v>21</v>
      </c>
      <c r="O5">
        <v>70</v>
      </c>
      <c r="P5" s="1" t="s">
        <v>21</v>
      </c>
      <c r="Q5" s="4" t="str">
        <f t="shared" si="0"/>
        <v>A</v>
      </c>
      <c r="R5" s="1" t="s">
        <v>23</v>
      </c>
      <c r="U5" s="2"/>
    </row>
    <row r="6" spans="1:22" x14ac:dyDescent="0.3">
      <c r="A6" s="1" t="s">
        <v>36</v>
      </c>
      <c r="B6" s="1" t="s">
        <v>37</v>
      </c>
      <c r="C6" s="1" t="s">
        <v>38</v>
      </c>
      <c r="D6" s="1"/>
      <c r="E6" s="1"/>
      <c r="F6" s="1" t="s">
        <v>39</v>
      </c>
      <c r="G6">
        <v>80</v>
      </c>
      <c r="H6" s="1" t="s">
        <v>21</v>
      </c>
      <c r="I6">
        <v>85</v>
      </c>
      <c r="J6" s="1" t="s">
        <v>21</v>
      </c>
      <c r="K6">
        <v>80</v>
      </c>
      <c r="L6" s="1" t="s">
        <v>21</v>
      </c>
      <c r="M6">
        <v>100</v>
      </c>
      <c r="N6" s="1" t="s">
        <v>21</v>
      </c>
      <c r="O6">
        <v>70</v>
      </c>
      <c r="P6" s="1" t="s">
        <v>21</v>
      </c>
      <c r="Q6" s="4" t="str">
        <f t="shared" si="0"/>
        <v>A</v>
      </c>
      <c r="R6" s="1" t="s">
        <v>23</v>
      </c>
      <c r="U6" s="2"/>
    </row>
    <row r="7" spans="1:22" x14ac:dyDescent="0.3">
      <c r="A7" s="1" t="s">
        <v>40</v>
      </c>
      <c r="B7" s="1" t="s">
        <v>41</v>
      </c>
      <c r="C7" s="1" t="s">
        <v>42</v>
      </c>
      <c r="D7" s="1"/>
      <c r="E7" s="1"/>
      <c r="F7" s="1" t="s">
        <v>43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>
        <v>100</v>
      </c>
      <c r="N7" s="1" t="s">
        <v>21</v>
      </c>
      <c r="O7" s="1" t="s">
        <v>22</v>
      </c>
      <c r="P7" s="1" t="s">
        <v>22</v>
      </c>
      <c r="Q7" s="4" t="str">
        <f t="shared" si="0"/>
        <v>-</v>
      </c>
      <c r="R7" s="1" t="s">
        <v>23</v>
      </c>
      <c r="U7" s="2"/>
    </row>
    <row r="8" spans="1:22" x14ac:dyDescent="0.3">
      <c r="A8" s="1" t="s">
        <v>44</v>
      </c>
      <c r="B8" s="1" t="s">
        <v>45</v>
      </c>
      <c r="C8" s="1" t="s">
        <v>46</v>
      </c>
      <c r="D8" s="1"/>
      <c r="E8" s="1"/>
      <c r="F8" s="1" t="s">
        <v>47</v>
      </c>
      <c r="G8">
        <v>100</v>
      </c>
      <c r="H8" s="1" t="s">
        <v>21</v>
      </c>
      <c r="I8" s="1" t="s">
        <v>22</v>
      </c>
      <c r="J8" s="1" t="s">
        <v>22</v>
      </c>
      <c r="K8">
        <v>90</v>
      </c>
      <c r="L8" s="1" t="s">
        <v>21</v>
      </c>
      <c r="M8">
        <v>100</v>
      </c>
      <c r="N8" s="1" t="s">
        <v>21</v>
      </c>
      <c r="O8">
        <v>70</v>
      </c>
      <c r="P8" s="1" t="s">
        <v>21</v>
      </c>
      <c r="Q8" s="4" t="str">
        <f t="shared" si="0"/>
        <v>-</v>
      </c>
      <c r="R8" s="1" t="s">
        <v>23</v>
      </c>
      <c r="U8" s="2"/>
    </row>
    <row r="9" spans="1:22" x14ac:dyDescent="0.3">
      <c r="A9" s="1" t="s">
        <v>48</v>
      </c>
      <c r="B9" s="1" t="s">
        <v>49</v>
      </c>
      <c r="C9" s="1" t="s">
        <v>50</v>
      </c>
      <c r="D9" s="1"/>
      <c r="E9" s="1"/>
      <c r="F9" s="1" t="s">
        <v>51</v>
      </c>
      <c r="G9">
        <v>93</v>
      </c>
      <c r="H9" s="1" t="s">
        <v>21</v>
      </c>
      <c r="I9">
        <v>50</v>
      </c>
      <c r="J9" s="1" t="s">
        <v>52</v>
      </c>
      <c r="K9" s="1" t="s">
        <v>22</v>
      </c>
      <c r="L9" s="1" t="s">
        <v>22</v>
      </c>
      <c r="M9">
        <v>20</v>
      </c>
      <c r="N9" s="1" t="s">
        <v>52</v>
      </c>
      <c r="O9">
        <v>40</v>
      </c>
      <c r="P9" s="1" t="s">
        <v>52</v>
      </c>
      <c r="Q9" s="4" t="str">
        <f t="shared" si="0"/>
        <v>-</v>
      </c>
      <c r="R9" s="1" t="s">
        <v>23</v>
      </c>
      <c r="U9" s="2"/>
    </row>
    <row r="10" spans="1:22" x14ac:dyDescent="0.3">
      <c r="A10" s="1" t="s">
        <v>53</v>
      </c>
      <c r="B10" s="1" t="s">
        <v>54</v>
      </c>
      <c r="C10" s="1" t="s">
        <v>55</v>
      </c>
      <c r="D10" s="1"/>
      <c r="E10" s="1"/>
      <c r="F10" s="1" t="s">
        <v>56</v>
      </c>
      <c r="G10">
        <v>87</v>
      </c>
      <c r="H10" s="1" t="s">
        <v>21</v>
      </c>
      <c r="I10">
        <v>50</v>
      </c>
      <c r="J10" s="1" t="s">
        <v>52</v>
      </c>
      <c r="K10">
        <v>40</v>
      </c>
      <c r="L10" s="1" t="s">
        <v>52</v>
      </c>
      <c r="M10">
        <v>80</v>
      </c>
      <c r="N10" s="1" t="s">
        <v>21</v>
      </c>
      <c r="O10">
        <v>50</v>
      </c>
      <c r="P10" s="1" t="s">
        <v>52</v>
      </c>
      <c r="Q10" s="4" t="str">
        <f t="shared" si="0"/>
        <v>-</v>
      </c>
      <c r="R10" s="1" t="s">
        <v>23</v>
      </c>
      <c r="U10" s="2"/>
    </row>
    <row r="11" spans="1:22" x14ac:dyDescent="0.3">
      <c r="A11" s="1" t="s">
        <v>57</v>
      </c>
      <c r="B11" s="1" t="s">
        <v>58</v>
      </c>
      <c r="C11" s="1" t="s">
        <v>59</v>
      </c>
      <c r="D11" s="1"/>
      <c r="E11" s="1"/>
      <c r="F11" s="1" t="s">
        <v>60</v>
      </c>
      <c r="G11">
        <v>87</v>
      </c>
      <c r="H11" s="1" t="s">
        <v>21</v>
      </c>
      <c r="I11">
        <v>90</v>
      </c>
      <c r="J11" s="1" t="s">
        <v>21</v>
      </c>
      <c r="K11">
        <v>90</v>
      </c>
      <c r="L11" s="1" t="s">
        <v>21</v>
      </c>
      <c r="M11">
        <v>80</v>
      </c>
      <c r="N11" s="1" t="s">
        <v>21</v>
      </c>
      <c r="O11">
        <v>80</v>
      </c>
      <c r="P11" s="1" t="s">
        <v>21</v>
      </c>
      <c r="Q11" s="4" t="str">
        <f t="shared" si="0"/>
        <v>A</v>
      </c>
      <c r="R11" s="1" t="s">
        <v>23</v>
      </c>
      <c r="U11" s="2"/>
    </row>
    <row r="12" spans="1:22" x14ac:dyDescent="0.3">
      <c r="A12" s="1" t="s">
        <v>61</v>
      </c>
      <c r="B12" s="1" t="s">
        <v>62</v>
      </c>
      <c r="C12" s="1" t="s">
        <v>63</v>
      </c>
      <c r="D12" s="1"/>
      <c r="E12" s="1"/>
      <c r="F12" s="1" t="s">
        <v>64</v>
      </c>
      <c r="G12">
        <v>100</v>
      </c>
      <c r="H12" s="1" t="s">
        <v>21</v>
      </c>
      <c r="I12" s="1" t="s">
        <v>22</v>
      </c>
      <c r="J12" s="1" t="s">
        <v>22</v>
      </c>
      <c r="K12">
        <v>40</v>
      </c>
      <c r="L12" s="1" t="s">
        <v>52</v>
      </c>
      <c r="M12" s="1" t="s">
        <v>22</v>
      </c>
      <c r="N12" s="1" t="s">
        <v>22</v>
      </c>
      <c r="O12" s="1" t="s">
        <v>22</v>
      </c>
      <c r="P12" s="1" t="s">
        <v>22</v>
      </c>
      <c r="Q12" s="4" t="str">
        <f t="shared" si="0"/>
        <v>-</v>
      </c>
      <c r="R12" s="1" t="s">
        <v>23</v>
      </c>
      <c r="U12" s="2"/>
      <c r="V12" s="2"/>
    </row>
    <row r="13" spans="1:22" x14ac:dyDescent="0.3">
      <c r="A13" s="1" t="s">
        <v>65</v>
      </c>
      <c r="B13" s="1" t="s">
        <v>66</v>
      </c>
      <c r="C13" s="1" t="s">
        <v>67</v>
      </c>
      <c r="D13" s="1"/>
      <c r="E13" s="1"/>
      <c r="F13" s="1" t="s">
        <v>68</v>
      </c>
      <c r="G13">
        <v>100</v>
      </c>
      <c r="H13" s="1" t="s">
        <v>21</v>
      </c>
      <c r="I13">
        <v>85</v>
      </c>
      <c r="J13" s="1" t="s">
        <v>21</v>
      </c>
      <c r="K13">
        <v>90</v>
      </c>
      <c r="L13" s="1" t="s">
        <v>21</v>
      </c>
      <c r="M13">
        <v>100</v>
      </c>
      <c r="N13" s="1" t="s">
        <v>21</v>
      </c>
      <c r="O13">
        <v>80</v>
      </c>
      <c r="P13" s="1" t="s">
        <v>21</v>
      </c>
      <c r="Q13" s="4" t="str">
        <f t="shared" si="0"/>
        <v>A</v>
      </c>
      <c r="R13" s="1" t="s">
        <v>23</v>
      </c>
      <c r="U13" s="2"/>
    </row>
    <row r="14" spans="1:22" x14ac:dyDescent="0.3">
      <c r="A14" s="1" t="s">
        <v>69</v>
      </c>
      <c r="B14" s="1" t="s">
        <v>70</v>
      </c>
      <c r="C14" s="1" t="s">
        <v>71</v>
      </c>
      <c r="D14" s="1"/>
      <c r="E14" s="1"/>
      <c r="F14" s="1" t="s">
        <v>72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22</v>
      </c>
      <c r="P14" s="1" t="s">
        <v>22</v>
      </c>
      <c r="Q14" s="4" t="str">
        <f t="shared" si="0"/>
        <v>-</v>
      </c>
      <c r="R14" s="1" t="s">
        <v>23</v>
      </c>
      <c r="U14" s="2"/>
      <c r="V14" s="2"/>
    </row>
    <row r="15" spans="1:22" x14ac:dyDescent="0.3">
      <c r="A15" s="1" t="s">
        <v>73</v>
      </c>
      <c r="B15" s="1" t="s">
        <v>74</v>
      </c>
      <c r="C15" s="1" t="s">
        <v>75</v>
      </c>
      <c r="D15" s="1"/>
      <c r="E15" s="1"/>
      <c r="F15" s="1" t="s">
        <v>76</v>
      </c>
      <c r="G15">
        <v>87</v>
      </c>
      <c r="H15" s="1" t="s">
        <v>21</v>
      </c>
      <c r="I15" s="1" t="s">
        <v>22</v>
      </c>
      <c r="J15" s="1" t="s">
        <v>22</v>
      </c>
      <c r="K15">
        <v>80</v>
      </c>
      <c r="L15" s="1" t="s">
        <v>21</v>
      </c>
      <c r="M15">
        <v>100</v>
      </c>
      <c r="N15" s="1" t="s">
        <v>21</v>
      </c>
      <c r="O15" s="1" t="s">
        <v>22</v>
      </c>
      <c r="P15" s="1" t="s">
        <v>22</v>
      </c>
      <c r="Q15" s="4" t="str">
        <f t="shared" si="0"/>
        <v>-</v>
      </c>
      <c r="R15" s="1" t="s">
        <v>23</v>
      </c>
      <c r="U15" s="2"/>
    </row>
    <row r="16" spans="1:22" x14ac:dyDescent="0.3">
      <c r="A16" s="1" t="s">
        <v>77</v>
      </c>
      <c r="B16" s="1" t="s">
        <v>78</v>
      </c>
      <c r="C16" s="1" t="s">
        <v>79</v>
      </c>
      <c r="D16" s="1"/>
      <c r="E16" s="1"/>
      <c r="F16" s="1" t="s">
        <v>80</v>
      </c>
      <c r="G16">
        <v>87</v>
      </c>
      <c r="H16" s="1" t="s">
        <v>21</v>
      </c>
      <c r="I16" s="1" t="s">
        <v>22</v>
      </c>
      <c r="J16" s="1" t="s">
        <v>22</v>
      </c>
      <c r="K16" s="1" t="s">
        <v>22</v>
      </c>
      <c r="L16" s="1" t="s">
        <v>22</v>
      </c>
      <c r="M16">
        <v>100</v>
      </c>
      <c r="N16" s="1" t="s">
        <v>21</v>
      </c>
      <c r="O16" s="1" t="s">
        <v>22</v>
      </c>
      <c r="P16" s="1" t="s">
        <v>22</v>
      </c>
      <c r="Q16" s="4" t="str">
        <f t="shared" si="0"/>
        <v>-</v>
      </c>
      <c r="R16" s="1" t="s">
        <v>23</v>
      </c>
      <c r="U16" s="2"/>
    </row>
    <row r="17" spans="1:21" x14ac:dyDescent="0.3">
      <c r="A17" s="1" t="s">
        <v>81</v>
      </c>
      <c r="B17" s="1" t="s">
        <v>82</v>
      </c>
      <c r="C17" s="1" t="s">
        <v>83</v>
      </c>
      <c r="D17" s="1"/>
      <c r="E17" s="1"/>
      <c r="F17" s="1" t="s">
        <v>84</v>
      </c>
      <c r="G17">
        <v>87</v>
      </c>
      <c r="H17" s="1" t="s">
        <v>21</v>
      </c>
      <c r="I17" s="1" t="s">
        <v>22</v>
      </c>
      <c r="J17" s="1" t="s">
        <v>22</v>
      </c>
      <c r="K17">
        <v>70</v>
      </c>
      <c r="L17" s="1" t="s">
        <v>21</v>
      </c>
      <c r="M17" s="1" t="s">
        <v>22</v>
      </c>
      <c r="N17" s="1" t="s">
        <v>22</v>
      </c>
      <c r="O17" s="1" t="s">
        <v>22</v>
      </c>
      <c r="P17" s="1" t="s">
        <v>22</v>
      </c>
      <c r="Q17" s="4" t="str">
        <f t="shared" si="0"/>
        <v>-</v>
      </c>
      <c r="R17" s="1" t="s">
        <v>23</v>
      </c>
      <c r="U17" s="2"/>
    </row>
    <row r="18" spans="1:21" x14ac:dyDescent="0.3">
      <c r="A18" s="1" t="s">
        <v>85</v>
      </c>
      <c r="B18" s="1" t="s">
        <v>86</v>
      </c>
      <c r="C18" s="1" t="s">
        <v>87</v>
      </c>
      <c r="D18" s="1"/>
      <c r="E18" s="1"/>
      <c r="F18" s="1" t="s">
        <v>88</v>
      </c>
      <c r="G18">
        <v>87</v>
      </c>
      <c r="H18" s="1" t="s">
        <v>21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  <c r="P18" s="1" t="s">
        <v>22</v>
      </c>
      <c r="Q18" s="4" t="str">
        <f t="shared" si="0"/>
        <v>-</v>
      </c>
      <c r="R18" s="1" t="s">
        <v>23</v>
      </c>
      <c r="U18" s="2"/>
    </row>
    <row r="19" spans="1:21" x14ac:dyDescent="0.3">
      <c r="A19" s="1" t="s">
        <v>89</v>
      </c>
      <c r="B19" s="1" t="s">
        <v>90</v>
      </c>
      <c r="C19" s="1" t="s">
        <v>91</v>
      </c>
      <c r="D19" s="1"/>
      <c r="E19" s="1"/>
      <c r="F19" s="1" t="s">
        <v>92</v>
      </c>
      <c r="G19">
        <v>87</v>
      </c>
      <c r="H19" s="1" t="s">
        <v>21</v>
      </c>
      <c r="I19">
        <v>75</v>
      </c>
      <c r="J19" s="1" t="s">
        <v>21</v>
      </c>
      <c r="K19">
        <v>80</v>
      </c>
      <c r="L19" s="1" t="s">
        <v>21</v>
      </c>
      <c r="M19">
        <v>100</v>
      </c>
      <c r="N19" s="1" t="s">
        <v>21</v>
      </c>
      <c r="O19">
        <v>70</v>
      </c>
      <c r="P19" s="1" t="s">
        <v>21</v>
      </c>
      <c r="Q19" s="4" t="str">
        <f t="shared" si="0"/>
        <v>A</v>
      </c>
      <c r="R19" s="1" t="s">
        <v>23</v>
      </c>
      <c r="U19" s="2"/>
    </row>
    <row r="20" spans="1:21" x14ac:dyDescent="0.3">
      <c r="A20" s="1" t="s">
        <v>93</v>
      </c>
      <c r="B20" s="1" t="s">
        <v>94</v>
      </c>
      <c r="C20" s="1" t="s">
        <v>95</v>
      </c>
      <c r="D20" s="1"/>
      <c r="E20" s="1"/>
      <c r="F20" s="1" t="s">
        <v>96</v>
      </c>
      <c r="G20">
        <v>87</v>
      </c>
      <c r="H20" s="1" t="s">
        <v>21</v>
      </c>
      <c r="I20">
        <v>90</v>
      </c>
      <c r="J20" s="1" t="s">
        <v>21</v>
      </c>
      <c r="K20">
        <v>40</v>
      </c>
      <c r="L20" s="1" t="s">
        <v>52</v>
      </c>
      <c r="M20">
        <v>80</v>
      </c>
      <c r="N20" s="1" t="s">
        <v>21</v>
      </c>
      <c r="O20">
        <v>70</v>
      </c>
      <c r="P20" s="1" t="s">
        <v>21</v>
      </c>
      <c r="Q20" s="4" t="str">
        <f t="shared" si="0"/>
        <v>-</v>
      </c>
      <c r="R20" s="1" t="s">
        <v>23</v>
      </c>
      <c r="U20" s="2"/>
    </row>
    <row r="21" spans="1:21" x14ac:dyDescent="0.3">
      <c r="A21" s="1" t="s">
        <v>97</v>
      </c>
      <c r="B21" s="1" t="s">
        <v>98</v>
      </c>
      <c r="C21" s="1" t="s">
        <v>99</v>
      </c>
      <c r="D21" s="1"/>
      <c r="E21" s="1"/>
      <c r="F21" s="1" t="s">
        <v>100</v>
      </c>
      <c r="G21" s="1" t="s">
        <v>22</v>
      </c>
      <c r="H21" s="1" t="s">
        <v>22</v>
      </c>
      <c r="I21">
        <v>90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  <c r="P21" s="1" t="s">
        <v>22</v>
      </c>
      <c r="Q21" s="4" t="str">
        <f t="shared" si="0"/>
        <v>-</v>
      </c>
      <c r="R21" s="1" t="s">
        <v>23</v>
      </c>
      <c r="U21" s="2"/>
    </row>
    <row r="22" spans="1:21" x14ac:dyDescent="0.3">
      <c r="A22" s="1" t="s">
        <v>101</v>
      </c>
      <c r="B22" s="1" t="s">
        <v>102</v>
      </c>
      <c r="C22" s="1" t="s">
        <v>103</v>
      </c>
      <c r="D22" s="1"/>
      <c r="E22" s="1"/>
      <c r="F22" s="1" t="s">
        <v>104</v>
      </c>
      <c r="G22">
        <v>87</v>
      </c>
      <c r="H22" s="1" t="s">
        <v>21</v>
      </c>
      <c r="I22">
        <v>85</v>
      </c>
      <c r="J22" s="1" t="s">
        <v>21</v>
      </c>
      <c r="K22">
        <v>90</v>
      </c>
      <c r="L22" s="1" t="s">
        <v>21</v>
      </c>
      <c r="M22">
        <v>90</v>
      </c>
      <c r="N22" s="1" t="s">
        <v>21</v>
      </c>
      <c r="O22">
        <v>90</v>
      </c>
      <c r="P22" s="1" t="s">
        <v>21</v>
      </c>
      <c r="Q22" s="4" t="str">
        <f t="shared" si="0"/>
        <v>A</v>
      </c>
      <c r="R22" s="1" t="s">
        <v>23</v>
      </c>
      <c r="U22" s="2"/>
    </row>
    <row r="23" spans="1:21" x14ac:dyDescent="0.3">
      <c r="A23" s="1" t="s">
        <v>105</v>
      </c>
      <c r="B23" s="1" t="s">
        <v>106</v>
      </c>
      <c r="C23" s="1" t="s">
        <v>107</v>
      </c>
      <c r="D23" s="1"/>
      <c r="E23" s="1"/>
      <c r="F23" s="1" t="s">
        <v>108</v>
      </c>
      <c r="G23">
        <v>80</v>
      </c>
      <c r="H23" s="1" t="s">
        <v>21</v>
      </c>
      <c r="I23" s="1" t="s">
        <v>22</v>
      </c>
      <c r="J23" s="1" t="s">
        <v>22</v>
      </c>
      <c r="K23">
        <v>100</v>
      </c>
      <c r="L23" s="1" t="s">
        <v>21</v>
      </c>
      <c r="M23" s="1" t="s">
        <v>22</v>
      </c>
      <c r="N23" s="1" t="s">
        <v>22</v>
      </c>
      <c r="O23" s="1" t="s">
        <v>22</v>
      </c>
      <c r="P23" s="1" t="s">
        <v>22</v>
      </c>
      <c r="Q23" s="4" t="str">
        <f t="shared" si="0"/>
        <v>-</v>
      </c>
      <c r="R23" s="1" t="s">
        <v>23</v>
      </c>
      <c r="U23" s="2"/>
    </row>
    <row r="24" spans="1:21" x14ac:dyDescent="0.3">
      <c r="A24" s="1" t="s">
        <v>109</v>
      </c>
      <c r="B24" s="1" t="s">
        <v>110</v>
      </c>
      <c r="C24" s="1" t="s">
        <v>111</v>
      </c>
      <c r="D24" s="1"/>
      <c r="E24" s="1"/>
      <c r="F24" s="1" t="s">
        <v>112</v>
      </c>
      <c r="G24">
        <v>87</v>
      </c>
      <c r="H24" s="1" t="s">
        <v>21</v>
      </c>
      <c r="I24" s="1" t="s">
        <v>22</v>
      </c>
      <c r="J24" s="1" t="s">
        <v>22</v>
      </c>
      <c r="K24">
        <v>80</v>
      </c>
      <c r="L24" s="1" t="s">
        <v>21</v>
      </c>
      <c r="M24">
        <v>20</v>
      </c>
      <c r="N24" s="1" t="s">
        <v>52</v>
      </c>
      <c r="O24">
        <v>20</v>
      </c>
      <c r="P24" s="1" t="s">
        <v>52</v>
      </c>
      <c r="Q24" s="4" t="str">
        <f t="shared" si="0"/>
        <v>-</v>
      </c>
      <c r="R24" s="1" t="s">
        <v>23</v>
      </c>
      <c r="U24" s="2"/>
    </row>
    <row r="25" spans="1:21" x14ac:dyDescent="0.3">
      <c r="A25" s="1" t="s">
        <v>113</v>
      </c>
      <c r="B25" s="1" t="s">
        <v>114</v>
      </c>
      <c r="C25" s="1" t="s">
        <v>115</v>
      </c>
      <c r="D25" s="1"/>
      <c r="E25" s="1"/>
      <c r="F25" s="1" t="s">
        <v>116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  <c r="P25" s="1" t="s">
        <v>22</v>
      </c>
      <c r="Q25" s="4" t="str">
        <f t="shared" si="0"/>
        <v>-</v>
      </c>
      <c r="R25" s="1" t="s">
        <v>23</v>
      </c>
      <c r="U25" s="2"/>
    </row>
    <row r="26" spans="1:21" x14ac:dyDescent="0.3">
      <c r="A26" s="1" t="s">
        <v>117</v>
      </c>
      <c r="B26" s="1" t="s">
        <v>118</v>
      </c>
      <c r="C26" s="1" t="s">
        <v>119</v>
      </c>
      <c r="D26" s="1"/>
      <c r="E26" s="1"/>
      <c r="F26" s="1" t="s">
        <v>120</v>
      </c>
      <c r="G26">
        <v>92</v>
      </c>
      <c r="H26" s="1" t="s">
        <v>21</v>
      </c>
      <c r="I26" s="1" t="s">
        <v>22</v>
      </c>
      <c r="J26" s="1" t="s">
        <v>22</v>
      </c>
      <c r="K26">
        <v>10</v>
      </c>
      <c r="L26" s="1" t="s">
        <v>52</v>
      </c>
      <c r="M26" s="1" t="s">
        <v>22</v>
      </c>
      <c r="N26" s="1" t="s">
        <v>22</v>
      </c>
      <c r="O26" s="1" t="s">
        <v>22</v>
      </c>
      <c r="P26" s="1" t="s">
        <v>22</v>
      </c>
      <c r="Q26" s="4" t="str">
        <f t="shared" si="0"/>
        <v>-</v>
      </c>
      <c r="R26" s="1" t="s">
        <v>23</v>
      </c>
      <c r="U26" s="2"/>
    </row>
    <row r="27" spans="1:21" x14ac:dyDescent="0.3">
      <c r="A27" s="1" t="s">
        <v>121</v>
      </c>
      <c r="B27" s="1" t="s">
        <v>122</v>
      </c>
      <c r="C27" s="1" t="s">
        <v>123</v>
      </c>
      <c r="D27" s="1"/>
      <c r="E27" s="1"/>
      <c r="F27" s="1" t="s">
        <v>124</v>
      </c>
      <c r="G27">
        <v>100</v>
      </c>
      <c r="H27" s="1" t="s">
        <v>21</v>
      </c>
      <c r="I27">
        <v>78</v>
      </c>
      <c r="J27" s="1" t="s">
        <v>21</v>
      </c>
      <c r="K27">
        <v>90</v>
      </c>
      <c r="L27" s="1" t="s">
        <v>21</v>
      </c>
      <c r="M27">
        <v>100</v>
      </c>
      <c r="N27" s="1" t="s">
        <v>21</v>
      </c>
      <c r="O27">
        <v>90</v>
      </c>
      <c r="P27" s="1" t="s">
        <v>21</v>
      </c>
      <c r="Q27" s="4" t="str">
        <f t="shared" si="0"/>
        <v>A</v>
      </c>
      <c r="R27" s="1" t="s">
        <v>23</v>
      </c>
      <c r="U27" s="2"/>
    </row>
    <row r="28" spans="1:21" x14ac:dyDescent="0.3">
      <c r="A28" s="1" t="s">
        <v>125</v>
      </c>
      <c r="B28" s="1" t="s">
        <v>126</v>
      </c>
      <c r="C28" s="1" t="s">
        <v>127</v>
      </c>
      <c r="D28" s="1"/>
      <c r="E28" s="1"/>
      <c r="F28" s="1" t="s">
        <v>128</v>
      </c>
      <c r="G28" s="1" t="s">
        <v>22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  <c r="P28" s="1" t="s">
        <v>22</v>
      </c>
      <c r="Q28" s="4" t="str">
        <f t="shared" si="0"/>
        <v>-</v>
      </c>
      <c r="R28" s="1" t="s">
        <v>23</v>
      </c>
      <c r="U28" s="2"/>
    </row>
    <row r="29" spans="1:21" x14ac:dyDescent="0.3">
      <c r="A29" s="1" t="s">
        <v>129</v>
      </c>
      <c r="B29" s="1" t="s">
        <v>130</v>
      </c>
      <c r="C29" s="1" t="s">
        <v>131</v>
      </c>
      <c r="D29" s="1"/>
      <c r="E29" s="1"/>
      <c r="F29" s="1" t="s">
        <v>132</v>
      </c>
      <c r="G29">
        <v>100</v>
      </c>
      <c r="H29" s="1" t="s">
        <v>21</v>
      </c>
      <c r="I29">
        <v>78</v>
      </c>
      <c r="J29" s="1" t="s">
        <v>21</v>
      </c>
      <c r="K29">
        <v>100</v>
      </c>
      <c r="L29" s="1" t="s">
        <v>21</v>
      </c>
      <c r="M29">
        <v>80</v>
      </c>
      <c r="N29" s="1" t="s">
        <v>21</v>
      </c>
      <c r="O29">
        <v>20</v>
      </c>
      <c r="P29" s="1" t="s">
        <v>52</v>
      </c>
      <c r="Q29" s="4" t="str">
        <f t="shared" si="0"/>
        <v>-</v>
      </c>
      <c r="R29" s="1" t="s">
        <v>23</v>
      </c>
      <c r="U29" s="2"/>
    </row>
    <row r="30" spans="1:21" x14ac:dyDescent="0.3">
      <c r="A30" s="1" t="s">
        <v>133</v>
      </c>
      <c r="B30" s="1" t="s">
        <v>134</v>
      </c>
      <c r="C30" s="1" t="s">
        <v>135</v>
      </c>
      <c r="D30" s="1"/>
      <c r="E30" s="1"/>
      <c r="F30" s="1" t="s">
        <v>136</v>
      </c>
      <c r="G30">
        <v>93</v>
      </c>
      <c r="H30" s="1" t="s">
        <v>21</v>
      </c>
      <c r="I30" s="1" t="s">
        <v>22</v>
      </c>
      <c r="J30" s="1" t="s">
        <v>22</v>
      </c>
      <c r="K30">
        <v>90</v>
      </c>
      <c r="L30" s="1" t="s">
        <v>21</v>
      </c>
      <c r="M30">
        <v>100</v>
      </c>
      <c r="N30" s="1" t="s">
        <v>21</v>
      </c>
      <c r="O30">
        <v>80</v>
      </c>
      <c r="P30" s="1" t="s">
        <v>21</v>
      </c>
      <c r="Q30" s="4" t="str">
        <f t="shared" si="0"/>
        <v>-</v>
      </c>
      <c r="R30" s="1" t="s">
        <v>23</v>
      </c>
      <c r="U30" s="2"/>
    </row>
    <row r="31" spans="1:21" x14ac:dyDescent="0.3">
      <c r="A31" s="1" t="s">
        <v>137</v>
      </c>
      <c r="B31" s="1" t="s">
        <v>138</v>
      </c>
      <c r="C31" s="1" t="s">
        <v>139</v>
      </c>
      <c r="D31" s="1"/>
      <c r="E31" s="1"/>
      <c r="F31" s="1" t="s">
        <v>140</v>
      </c>
      <c r="G31">
        <v>87</v>
      </c>
      <c r="H31" s="1" t="s">
        <v>21</v>
      </c>
      <c r="I31" s="1" t="s">
        <v>22</v>
      </c>
      <c r="J31" s="1" t="s">
        <v>22</v>
      </c>
      <c r="K31" s="1" t="s">
        <v>22</v>
      </c>
      <c r="L31" s="1" t="s">
        <v>22</v>
      </c>
      <c r="M31" s="1" t="s">
        <v>22</v>
      </c>
      <c r="N31" s="1" t="s">
        <v>22</v>
      </c>
      <c r="O31" s="1" t="s">
        <v>22</v>
      </c>
      <c r="P31" s="1" t="s">
        <v>22</v>
      </c>
      <c r="Q31" s="4" t="str">
        <f t="shared" si="0"/>
        <v>-</v>
      </c>
      <c r="R31" s="1" t="s">
        <v>23</v>
      </c>
      <c r="U31" s="2"/>
    </row>
    <row r="32" spans="1:21" x14ac:dyDescent="0.3">
      <c r="A32" s="1" t="s">
        <v>141</v>
      </c>
      <c r="B32" s="1" t="s">
        <v>142</v>
      </c>
      <c r="C32" s="1" t="s">
        <v>143</v>
      </c>
      <c r="D32" s="1"/>
      <c r="E32" s="1"/>
      <c r="F32" s="1" t="s">
        <v>144</v>
      </c>
      <c r="G32">
        <v>100</v>
      </c>
      <c r="H32" s="1" t="s">
        <v>21</v>
      </c>
      <c r="I32" s="1" t="s">
        <v>22</v>
      </c>
      <c r="J32" s="1" t="s">
        <v>22</v>
      </c>
      <c r="K32">
        <v>100</v>
      </c>
      <c r="L32" s="1" t="s">
        <v>21</v>
      </c>
      <c r="M32">
        <v>100</v>
      </c>
      <c r="N32" s="1" t="s">
        <v>21</v>
      </c>
      <c r="O32">
        <v>90</v>
      </c>
      <c r="P32" s="1" t="s">
        <v>21</v>
      </c>
      <c r="Q32" s="4" t="str">
        <f t="shared" si="0"/>
        <v>-</v>
      </c>
      <c r="R32" s="1" t="s">
        <v>23</v>
      </c>
      <c r="U32" s="2"/>
    </row>
    <row r="33" spans="1:21" x14ac:dyDescent="0.3">
      <c r="A33" s="1" t="s">
        <v>145</v>
      </c>
      <c r="B33" s="1" t="s">
        <v>146</v>
      </c>
      <c r="C33" s="1" t="s">
        <v>147</v>
      </c>
      <c r="D33" s="1"/>
      <c r="E33" s="1"/>
      <c r="F33" s="1" t="s">
        <v>148</v>
      </c>
      <c r="G33">
        <v>87</v>
      </c>
      <c r="H33" s="1" t="s">
        <v>21</v>
      </c>
      <c r="I33">
        <v>86</v>
      </c>
      <c r="J33" s="1" t="s">
        <v>21</v>
      </c>
      <c r="K33">
        <v>100</v>
      </c>
      <c r="L33" s="1" t="s">
        <v>21</v>
      </c>
      <c r="M33">
        <v>100</v>
      </c>
      <c r="N33" s="1" t="s">
        <v>21</v>
      </c>
      <c r="O33">
        <v>70</v>
      </c>
      <c r="P33" s="1" t="s">
        <v>21</v>
      </c>
      <c r="Q33" s="4" t="str">
        <f t="shared" si="0"/>
        <v>A</v>
      </c>
      <c r="R33" s="1" t="s">
        <v>23</v>
      </c>
      <c r="U33" s="2"/>
    </row>
    <row r="34" spans="1:21" x14ac:dyDescent="0.3">
      <c r="A34" s="1" t="s">
        <v>149</v>
      </c>
      <c r="B34" s="1" t="s">
        <v>150</v>
      </c>
      <c r="C34" s="1" t="s">
        <v>151</v>
      </c>
      <c r="D34" s="1" t="s">
        <v>152</v>
      </c>
      <c r="E34" s="1"/>
      <c r="F34" s="1" t="s">
        <v>153</v>
      </c>
      <c r="G34">
        <v>74</v>
      </c>
      <c r="H34" s="1" t="s">
        <v>21</v>
      </c>
      <c r="I34">
        <v>78</v>
      </c>
      <c r="J34" s="1" t="s">
        <v>21</v>
      </c>
      <c r="K34">
        <v>100</v>
      </c>
      <c r="L34" s="1" t="s">
        <v>21</v>
      </c>
      <c r="M34">
        <v>100</v>
      </c>
      <c r="N34" s="1" t="s">
        <v>21</v>
      </c>
      <c r="O34">
        <v>80</v>
      </c>
      <c r="P34" s="1" t="s">
        <v>21</v>
      </c>
      <c r="Q34" s="4" t="str">
        <f t="shared" si="0"/>
        <v>A</v>
      </c>
      <c r="R34" s="1" t="s">
        <v>23</v>
      </c>
      <c r="U34" s="2"/>
    </row>
    <row r="35" spans="1:21" x14ac:dyDescent="0.3">
      <c r="A35" s="1" t="s">
        <v>154</v>
      </c>
      <c r="B35" s="1" t="s">
        <v>155</v>
      </c>
      <c r="C35" s="1" t="s">
        <v>156</v>
      </c>
      <c r="D35" s="1"/>
      <c r="E35" s="1"/>
      <c r="F35" s="1" t="s">
        <v>157</v>
      </c>
      <c r="G35">
        <v>100</v>
      </c>
      <c r="H35" s="1" t="s">
        <v>21</v>
      </c>
      <c r="I35">
        <v>85</v>
      </c>
      <c r="J35" s="1" t="s">
        <v>21</v>
      </c>
      <c r="K35">
        <v>70</v>
      </c>
      <c r="L35" s="1" t="s">
        <v>21</v>
      </c>
      <c r="M35">
        <v>70</v>
      </c>
      <c r="N35" s="1" t="s">
        <v>21</v>
      </c>
      <c r="O35">
        <v>70</v>
      </c>
      <c r="P35" s="1" t="s">
        <v>21</v>
      </c>
      <c r="Q35" s="4" t="str">
        <f t="shared" si="0"/>
        <v>A</v>
      </c>
      <c r="R35" s="1" t="s">
        <v>23</v>
      </c>
      <c r="U35" s="2"/>
    </row>
    <row r="36" spans="1:21" x14ac:dyDescent="0.3">
      <c r="A36" s="1" t="s">
        <v>158</v>
      </c>
      <c r="B36" s="1" t="s">
        <v>159</v>
      </c>
      <c r="C36" s="1" t="s">
        <v>160</v>
      </c>
      <c r="D36" s="1"/>
      <c r="E36" s="1"/>
      <c r="F36" s="1" t="s">
        <v>161</v>
      </c>
      <c r="G36">
        <v>87</v>
      </c>
      <c r="H36" s="1" t="s">
        <v>21</v>
      </c>
      <c r="I36">
        <v>85</v>
      </c>
      <c r="J36" s="1" t="s">
        <v>21</v>
      </c>
      <c r="K36">
        <v>80</v>
      </c>
      <c r="L36" s="1" t="s">
        <v>21</v>
      </c>
      <c r="M36">
        <v>100</v>
      </c>
      <c r="N36" s="1" t="s">
        <v>21</v>
      </c>
      <c r="O36">
        <v>90</v>
      </c>
      <c r="P36" s="1" t="s">
        <v>21</v>
      </c>
      <c r="Q36" s="4" t="str">
        <f t="shared" si="0"/>
        <v>A</v>
      </c>
      <c r="R36" s="1" t="s">
        <v>23</v>
      </c>
      <c r="U36" s="2"/>
    </row>
    <row r="37" spans="1:21" x14ac:dyDescent="0.3">
      <c r="A37" s="1" t="s">
        <v>162</v>
      </c>
      <c r="B37" s="1" t="s">
        <v>163</v>
      </c>
      <c r="C37" s="1" t="s">
        <v>164</v>
      </c>
      <c r="D37" s="1"/>
      <c r="E37" s="1"/>
      <c r="F37" s="1" t="s">
        <v>165</v>
      </c>
      <c r="G37">
        <v>100</v>
      </c>
      <c r="H37" s="1" t="s">
        <v>21</v>
      </c>
      <c r="I37">
        <v>80</v>
      </c>
      <c r="J37" s="1" t="s">
        <v>21</v>
      </c>
      <c r="K37">
        <v>90</v>
      </c>
      <c r="L37" s="1" t="s">
        <v>21</v>
      </c>
      <c r="M37">
        <v>100</v>
      </c>
      <c r="N37" s="1" t="s">
        <v>21</v>
      </c>
      <c r="O37">
        <v>70</v>
      </c>
      <c r="P37" s="1" t="s">
        <v>21</v>
      </c>
      <c r="Q37" s="4" t="str">
        <f t="shared" si="0"/>
        <v>A</v>
      </c>
      <c r="R37" s="1" t="s">
        <v>23</v>
      </c>
      <c r="U37" s="2"/>
    </row>
    <row r="38" spans="1:21" x14ac:dyDescent="0.3">
      <c r="A38" s="1" t="s">
        <v>166</v>
      </c>
      <c r="B38" s="1" t="s">
        <v>167</v>
      </c>
      <c r="C38" s="1" t="s">
        <v>168</v>
      </c>
      <c r="D38" s="1"/>
      <c r="E38" s="1"/>
      <c r="F38" s="1" t="s">
        <v>169</v>
      </c>
      <c r="G38">
        <v>87</v>
      </c>
      <c r="H38" s="1" t="s">
        <v>21</v>
      </c>
      <c r="I38">
        <v>75</v>
      </c>
      <c r="J38" s="1" t="s">
        <v>21</v>
      </c>
      <c r="K38">
        <v>90</v>
      </c>
      <c r="L38" s="1" t="s">
        <v>21</v>
      </c>
      <c r="M38">
        <v>80</v>
      </c>
      <c r="N38" s="1" t="s">
        <v>21</v>
      </c>
      <c r="O38">
        <v>70</v>
      </c>
      <c r="P38" s="1" t="s">
        <v>21</v>
      </c>
      <c r="Q38" s="4" t="str">
        <f t="shared" si="0"/>
        <v>A</v>
      </c>
      <c r="R38" s="1" t="s">
        <v>23</v>
      </c>
      <c r="U38" s="2"/>
    </row>
    <row r="39" spans="1:21" x14ac:dyDescent="0.3">
      <c r="A39" s="1" t="s">
        <v>170</v>
      </c>
      <c r="B39" s="1" t="s">
        <v>171</v>
      </c>
      <c r="C39" s="1" t="s">
        <v>172</v>
      </c>
      <c r="D39" s="1"/>
      <c r="E39" s="1"/>
      <c r="F39" s="1" t="s">
        <v>173</v>
      </c>
      <c r="G39">
        <v>87</v>
      </c>
      <c r="H39" s="1" t="s">
        <v>21</v>
      </c>
      <c r="I39">
        <v>95</v>
      </c>
      <c r="J39" s="1" t="s">
        <v>21</v>
      </c>
      <c r="K39">
        <v>20</v>
      </c>
      <c r="L39" s="1" t="s">
        <v>52</v>
      </c>
      <c r="M39">
        <v>100</v>
      </c>
      <c r="N39" s="1" t="s">
        <v>21</v>
      </c>
      <c r="O39" s="1" t="s">
        <v>22</v>
      </c>
      <c r="P39" s="1" t="s">
        <v>22</v>
      </c>
      <c r="Q39" s="4" t="str">
        <f t="shared" si="0"/>
        <v>-</v>
      </c>
      <c r="R39" s="1" t="s">
        <v>23</v>
      </c>
      <c r="U39" s="2"/>
    </row>
    <row r="40" spans="1:21" x14ac:dyDescent="0.3">
      <c r="A40" s="1" t="s">
        <v>174</v>
      </c>
      <c r="B40" s="1" t="s">
        <v>175</v>
      </c>
      <c r="C40" s="1" t="s">
        <v>176</v>
      </c>
      <c r="D40" s="1"/>
      <c r="E40" s="1"/>
      <c r="F40" s="1" t="s">
        <v>177</v>
      </c>
      <c r="G40">
        <v>100</v>
      </c>
      <c r="H40" s="1" t="s">
        <v>21</v>
      </c>
      <c r="I40" s="1" t="s">
        <v>22</v>
      </c>
      <c r="J40" s="1" t="s">
        <v>22</v>
      </c>
      <c r="K40">
        <v>70</v>
      </c>
      <c r="L40" s="1" t="s">
        <v>21</v>
      </c>
      <c r="M40" s="1" t="s">
        <v>22</v>
      </c>
      <c r="N40" s="1" t="s">
        <v>22</v>
      </c>
      <c r="O40" s="1" t="s">
        <v>22</v>
      </c>
      <c r="P40" s="1" t="s">
        <v>22</v>
      </c>
      <c r="Q40" s="4" t="str">
        <f t="shared" si="0"/>
        <v>-</v>
      </c>
      <c r="R40" s="1" t="s">
        <v>23</v>
      </c>
      <c r="U40" s="2"/>
    </row>
    <row r="43" spans="1:21" x14ac:dyDescent="0.3">
      <c r="B43" s="1" t="s">
        <v>178</v>
      </c>
      <c r="U43" s="2"/>
    </row>
    <row r="44" spans="1:21" x14ac:dyDescent="0.3">
      <c r="B44" s="1" t="s">
        <v>179</v>
      </c>
    </row>
  </sheetData>
  <autoFilter ref="A1:V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Bohorquez</cp:lastModifiedBy>
  <dcterms:created xsi:type="dcterms:W3CDTF">2026-02-16T21:42:15Z</dcterms:created>
  <dcterms:modified xsi:type="dcterms:W3CDTF">2026-02-24T11:43:07Z</dcterms:modified>
  <cp:category/>
</cp:coreProperties>
</file>